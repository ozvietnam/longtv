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Dự Án" sheetId="1" state="visible" r:id="rId1"/>
    <sheet name="CAPEX" sheetId="2" state="visible" r:id="rId2"/>
    <sheet name="OP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6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wrapText="1"/>
    </xf>
    <xf numFmtId="0" fontId="5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LONGTV — KẾ HOẠCH TÀI CHÍNH NĂM 1 (ALL-IN-ONE)</t>
        </is>
      </c>
    </row>
    <row r="2">
      <c r="A2" t="inlineStr">
        <is>
          <t>Quy mô tầm trung · 2 chi nhánh HP + TN · Giả định desk 2026-07-09</t>
        </is>
      </c>
    </row>
    <row r="5">
      <c r="A5" s="2" t="inlineStr">
        <is>
          <t>Hạng mục chi phí</t>
        </is>
      </c>
      <c r="B5" s="2" t="inlineStr">
        <is>
          <t>Hải Phòng (VND)</t>
        </is>
      </c>
      <c r="C5" s="2" t="inlineStr">
        <is>
          <t>Thái Nguyên (VND)</t>
        </is>
      </c>
      <c r="D5" s="2" t="inlineStr">
        <is>
          <t>Tổng hệ thống (VND)</t>
        </is>
      </c>
      <c r="E5" s="2" t="inlineStr">
        <is>
          <t>Tỷ trọng</t>
        </is>
      </c>
    </row>
    <row r="6">
      <c r="A6" s="3" t="inlineStr">
        <is>
          <t>1. CAPEX — Đầu tư ban đầu</t>
        </is>
      </c>
      <c r="B6" s="4">
        <f>CAPEX!B7</f>
        <v/>
      </c>
      <c r="C6" s="4">
        <f>CAPEX!C7</f>
        <v/>
      </c>
      <c r="D6" s="4">
        <f>CAPEX!D7</f>
        <v/>
      </c>
      <c r="E6" s="5">
        <f>D6/$D$8</f>
        <v/>
      </c>
    </row>
    <row r="7">
      <c r="A7" s="3" t="inlineStr">
        <is>
          <t>2. OPEX — Vận hành năm đầu</t>
        </is>
      </c>
      <c r="B7" s="4">
        <f>OPEX!B12</f>
        <v/>
      </c>
      <c r="C7" s="4">
        <f>OPEX!C12</f>
        <v/>
      </c>
      <c r="D7" s="4">
        <f>OPEX!D12</f>
        <v/>
      </c>
      <c r="E7" s="5">
        <f>D7/$D$8</f>
        <v/>
      </c>
    </row>
    <row r="8">
      <c r="A8" s="6" t="inlineStr">
        <is>
          <t>TỔNG NHU CẦU VỐN NĂM 1</t>
        </is>
      </c>
      <c r="B8" s="7">
        <f>B6+B7</f>
        <v/>
      </c>
      <c r="C8" s="7">
        <f>C6+C7</f>
        <v/>
      </c>
      <c r="D8" s="7">
        <f>D6+D7</f>
        <v/>
      </c>
      <c r="E8" s="8" t="n"/>
    </row>
    <row r="10">
      <c r="A10" s="9" t="inlineStr">
        <is>
          <t>So sánh kịch bản</t>
        </is>
      </c>
    </row>
    <row r="11">
      <c r="A11" t="inlineStr">
        <is>
          <t>Kịch bản bootstrap (QĐ #003)</t>
        </is>
      </c>
      <c r="B11" s="10" t="n">
        <v>2000000000</v>
      </c>
      <c r="C11" t="inlineStr">
        <is>
          <t>Virtual office · 8–10 FTE · MOU đối tác</t>
        </is>
      </c>
    </row>
    <row r="12">
      <c r="A12" t="inlineStr">
        <is>
          <t>Kịch bản tầm trung (file này)</t>
        </is>
      </c>
      <c r="B12" s="10">
        <f>D8</f>
        <v/>
      </c>
      <c r="C12" t="inlineStr">
        <is>
          <t>2 VP + kho + ~16–18 FTE</t>
        </is>
      </c>
    </row>
    <row r="13">
      <c r="A13" t="inlineStr">
        <is>
          <t>Chênh lệch cần bổ sung</t>
        </is>
      </c>
      <c r="B13" s="10">
        <f>D8-2000000000</f>
        <v/>
      </c>
      <c r="C13" t="inlineStr">
        <is>
          <t>Gọi vốn vòng 2 hoặc giai đoạn 2–3</t>
        </is>
      </c>
    </row>
    <row r="15">
      <c r="A15" s="9" t="inlineStr">
        <is>
          <t>Hướng dẫn</t>
        </is>
      </c>
    </row>
    <row r="16">
      <c r="A16" t="inlineStr">
        <is>
          <t>• Tab CAPEX / OPEX: sửa ô số liệu — Tổng tự cập nhật bằng SUM.</t>
        </is>
      </c>
    </row>
    <row r="17">
      <c r="A17" t="inlineStr">
        <is>
          <t>• Tab Tổng Quan: đồng bộ qua tham chiếu =CAPEX! / =OPEX!.</t>
        </is>
      </c>
    </row>
    <row r="18">
      <c r="A18" t="inlineStr">
        <is>
          <t>• Markdown: /docs/03-departments/05-van-hanh-tc/capex-opex-year1-medium-scale.md</t>
        </is>
      </c>
    </row>
  </sheetData>
  <mergeCells count="8">
    <mergeCell ref="C11:E11"/>
    <mergeCell ref="A17:E17"/>
    <mergeCell ref="C13:E13"/>
    <mergeCell ref="A2:E2"/>
    <mergeCell ref="A16:E16"/>
    <mergeCell ref="A1:E1"/>
    <mergeCell ref="C12:E1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11" t="inlineStr">
        <is>
          <t>CHI PHÍ ĐẦU TƯ BAN ĐẦU (CAPEX) — NĂM 1</t>
        </is>
      </c>
    </row>
    <row r="3">
      <c r="A3" s="12" t="inlineStr">
        <is>
          <t>Hạng mục</t>
        </is>
      </c>
      <c r="B3" s="12" t="inlineStr">
        <is>
          <t>Hải Phòng (VND)</t>
        </is>
      </c>
      <c r="C3" s="12" t="inlineStr">
        <is>
          <t>Thái Nguyên (VND)</t>
        </is>
      </c>
      <c r="D3" s="12" t="inlineStr">
        <is>
          <t>Tổng (VND)</t>
        </is>
      </c>
      <c r="E3" s="12" t="inlineStr">
        <is>
          <t>Ghi chú</t>
        </is>
      </c>
    </row>
    <row r="4">
      <c r="A4" s="8" t="inlineStr">
        <is>
          <t>Giấy phép &amp; pháp lý thương hiệu (luật liên kết, mã đại lý HQ, bưu chính)</t>
        </is>
      </c>
      <c r="B4" s="4" t="n">
        <v>185000000</v>
      </c>
      <c r="C4" s="4" t="n">
        <v>140000000</v>
      </c>
      <c r="D4" s="4">
        <f>SUM(B4:C4)</f>
        <v/>
      </c>
      <c r="E4" s="8" t="inlineStr">
        <is>
          <t>MOU công ty luật + đại lý ECUS</t>
        </is>
      </c>
    </row>
    <row r="5">
      <c r="A5" s="8" t="inlineStr">
        <is>
          <t>Hạ tầng văn phòng (cọc 3–6 tháng + nội thất tiếp khách chuẩn TQ)</t>
        </is>
      </c>
      <c r="B5" s="4" t="n">
        <v>385000000</v>
      </c>
      <c r="C5" s="4" t="n">
        <v>295000000</v>
      </c>
      <c r="D5" s="4">
        <f>SUM(B5:C5)</f>
        <v/>
      </c>
      <c r="E5" s="8" t="inlineStr">
        <is>
          <t>HP: Lê Hồng Phong / Đình Vũ · TN: Yên Bình</t>
        </is>
      </c>
    </row>
    <row r="6">
      <c r="A6" s="8" t="inlineStr">
        <is>
          <t>CNTT &amp; phần mềm (WMS, CRM, ECUS5-VNACCS bản quyền/năm 1)</t>
        </is>
      </c>
      <c r="B6" s="4" t="n">
        <v>275000000</v>
      </c>
      <c r="C6" s="4" t="n">
        <v>180000000</v>
      </c>
      <c r="D6" s="4">
        <f>SUM(B6:C6)</f>
        <v/>
      </c>
      <c r="E6" s="8" t="inlineStr">
        <is>
          <t>Zoho/HubSpot + đối tác WMS</t>
        </is>
      </c>
    </row>
    <row r="7">
      <c r="A7" s="6" t="inlineStr">
        <is>
          <t>TỔNG CỘNG</t>
        </is>
      </c>
      <c r="B7" s="13">
        <f>SUM(B4:B6)</f>
        <v/>
      </c>
      <c r="C7" s="13">
        <f>SUM(C4:C6)</f>
        <v/>
      </c>
      <c r="D7" s="13">
        <f>SUM(D4:D6)</f>
        <v/>
      </c>
      <c r="E7" s="6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11" t="inlineStr">
        <is>
          <t>CHI PHÍ VẬN HÀNH NĂM ĐẦU (OPEX) — NĂM 1</t>
        </is>
      </c>
    </row>
    <row r="3">
      <c r="A3" s="12" t="inlineStr">
        <is>
          <t>Hạng mục</t>
        </is>
      </c>
      <c r="B3" s="12" t="inlineStr">
        <is>
          <t>Hải Phòng (VND)</t>
        </is>
      </c>
      <c r="C3" s="12" t="inlineStr">
        <is>
          <t>Thái Nguyên (VND)</t>
        </is>
      </c>
      <c r="D3" s="12" t="inlineStr">
        <is>
          <t>Tổng (VND)</t>
        </is>
      </c>
      <c r="E3" s="12" t="inlineStr">
        <is>
          <t>Ghi chú</t>
        </is>
      </c>
    </row>
    <row r="4">
      <c r="A4" s="8" t="inlineStr">
        <is>
          <t>Quỹ lương — đội pháp lý (IRC, ERC, ĐTM, PCCC)</t>
        </is>
      </c>
      <c r="B4" s="4" t="n">
        <v>960000000</v>
      </c>
      <c r="C4" s="4" t="n">
        <v>720000000</v>
      </c>
      <c r="D4" s="4">
        <f>SUM(B4:C4)</f>
        <v/>
      </c>
      <c r="E4" s="8" t="inlineStr">
        <is>
          <t>HP 4 FTE · TN 3 FTE</t>
        </is>
      </c>
    </row>
    <row r="5">
      <c r="A5" s="8" t="inlineStr">
        <is>
          <t>Quỹ lương — logistics hiện trường &amp; chứng từ (HQ, kho)</t>
        </is>
      </c>
      <c r="B5" s="4" t="n">
        <v>1080000000</v>
      </c>
      <c r="C5" s="4" t="n">
        <v>648000000</v>
      </c>
      <c r="D5" s="4">
        <f>SUM(B5:C5)</f>
        <v/>
      </c>
      <c r="E5" s="8" t="inlineStr">
        <is>
          <t>Chứng chỉ TCHQ · song ngữ</t>
        </is>
      </c>
    </row>
    <row r="6">
      <c r="A6" s="8" t="inlineStr">
        <is>
          <t>Quỹ lương — BD/PM (HSK 5–6, Guanxi)</t>
        </is>
      </c>
      <c r="B6" s="4" t="n">
        <v>360000000</v>
      </c>
      <c r="C6" s="4" t="n">
        <v>312000000</v>
      </c>
      <c r="D6" s="4">
        <f>SUM(B6:C6)</f>
        <v/>
      </c>
      <c r="E6" s="8" t="inlineStr"/>
    </row>
    <row r="7">
      <c r="A7" s="8" t="inlineStr">
        <is>
          <t>Thuê kho bãi &amp; bốc xếp</t>
        </is>
      </c>
      <c r="B7" s="4" t="n">
        <v>336000000</v>
      </c>
      <c r="C7" s="4" t="n">
        <v>280000000</v>
      </c>
      <c r="D7" s="4">
        <f>SUM(B7:C7)</f>
        <v/>
      </c>
      <c r="E7" s="8" t="inlineStr">
        <is>
          <t>HP consolidation cảng · TN KCN Yên Bình</t>
        </is>
      </c>
    </row>
    <row r="8">
      <c r="A8" s="8" t="inlineStr">
        <is>
          <t>Marketing TQ (Baidu, WeChat, hội thảo Việt–Trung)</t>
        </is>
      </c>
      <c r="B8" s="4" t="n">
        <v>80000000</v>
      </c>
      <c r="C8" s="4" t="n">
        <v>60000000</v>
      </c>
      <c r="D8" s="4">
        <f>SUM(B8:C8)</f>
        <v/>
      </c>
      <c r="E8" s="8" t="inlineStr"/>
    </row>
    <row r="9">
      <c r="A9" s="8" t="inlineStr">
        <is>
          <t>Thuê VP (phần OPEX, sau cọc) + điện nước</t>
        </is>
      </c>
      <c r="B9" s="4" t="n">
        <v>36000000</v>
      </c>
      <c r="C9" s="4" t="n">
        <v>30000000</v>
      </c>
      <c r="D9" s="4">
        <f>SUM(B9:C9)</f>
        <v/>
      </c>
      <c r="E9" s="8" t="inlineStr"/>
    </row>
    <row r="10">
      <c r="A10" s="8" t="inlineStr">
        <is>
          <t>Tuyển dụng / HR cung ứng LĐ (TN)</t>
        </is>
      </c>
      <c r="B10" s="4" t="n">
        <v>0</v>
      </c>
      <c r="C10" s="4" t="n">
        <v>150000000</v>
      </c>
      <c r="D10" s="4">
        <f>SUM(B10:C10)</f>
        <v/>
      </c>
      <c r="E10" s="8" t="inlineStr">
        <is>
          <t>Samsung hub competition</t>
        </is>
      </c>
    </row>
    <row r="11">
      <c r="A11" s="8" t="inlineStr">
        <is>
          <t>SaaS, đi lại, admin, dự phòng phát sinh</t>
        </is>
      </c>
      <c r="B11" s="4" t="n">
        <v>24000000</v>
      </c>
      <c r="C11" s="4" t="n">
        <v>114000000</v>
      </c>
      <c r="D11" s="4">
        <f>SUM(B11:C11)</f>
        <v/>
      </c>
      <c r="E11" s="8" t="inlineStr"/>
    </row>
    <row r="12">
      <c r="A12" s="6" t="inlineStr">
        <is>
          <t>TỔNG CỘNG</t>
        </is>
      </c>
      <c r="B12" s="13">
        <f>SUM(B4:B11)</f>
        <v/>
      </c>
      <c r="C12" s="13">
        <f>SUM(C4:C11)</f>
        <v/>
      </c>
      <c r="D12" s="13">
        <f>SUM(D4:D11)</f>
        <v/>
      </c>
      <c r="E12" s="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2026-07-09T06:52:27Z</dcterms:created>
  <dcterms:modified xsi:type="dcterms:W3CDTF">2026-07-09T06:52:27Z</dcterms:modified>
</cp:coreProperties>
</file>